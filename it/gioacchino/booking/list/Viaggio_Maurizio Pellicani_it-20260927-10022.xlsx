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tinerario" sheetId="1" r:id="rId4"/>
  </sheets>
</workbook>
</file>

<file path=xl/sharedStrings.xml><?xml version="1.0" encoding="utf-8"?>
<sst xmlns="http://schemas.openxmlformats.org/spreadsheetml/2006/main" uniqueCount="87">
  <si>
    <t>GIAPPONE • 19–29 NOVEMBRE 2026</t>
  </si>
  <si>
    <t>Tokyo → Nikko → Hakone/Fuji → Kanazawa → Shirakawa-go → Takayama → Kyoto → Nara → Osaka</t>
  </si>
  <si>
    <t>GIORNI</t>
  </si>
  <si>
    <t>NOTTI</t>
  </si>
  <si>
    <t>BASI</t>
  </si>
  <si>
    <t>Data</t>
  </si>
  <si>
    <t>Base</t>
  </si>
  <si>
    <t>Mattina</t>
  </si>
  <si>
    <t>Pomeriggio</t>
  </si>
  <si>
    <t>Sera</t>
  </si>
  <si>
    <t>Trasporto</t>
  </si>
  <si>
    <t>Pernottamento</t>
  </si>
  <si>
    <t>Prenotazioni e note</t>
  </si>
  <si>
    <t>Costi extra guida</t>
  </si>
  <si>
    <t>Tokyo</t>
  </si>
  <si>
    <t>Arrivo aeroporto di Tokyo alle 11:20; immigrazione, bagagli e trasferimento in hotel.</t>
  </si>
  <si>
    <t>Check-in e passeggiata leggera a seconda della zona hotel.</t>
  </si>
  <si>
    <t>Cena vicino all’hotel e riposo; evitare un programma rigido per il jet lag.</t>
  </si>
  <si>
    <t>Aeroporto → centro: prevedere 60–120 min complessivi secondo aeroporto e hotel.</t>
  </si>
  <si>
    <t>Tokyo · notte 1/4</t>
  </si>
  <si>
    <r>
      <rPr>
        <b val="1"/>
        <sz val="10"/>
        <color indexed="8"/>
        <rFont val="Aptos"/>
      </rPr>
      <t>Guida non presente</t>
    </r>
    <r>
      <rPr>
        <sz val="10"/>
        <color indexed="8"/>
        <rFont val="Aptos"/>
      </rPr>
      <t>. Confermare Haneda o Narita, numero volo e hotel; valutare transfer privato se molti bagagli.</t>
    </r>
  </si>
  <si>
    <t>Visita guidata in italiano: Meiji Jingu, Harajuku e Omotesando.</t>
  </si>
  <si>
    <t>Asakusa e Ueno; Shinjuku punto panoramico e quartieri centrali; percorso da adattare alla zona hotel.</t>
  </si>
  <si>
    <t>Cena libera a Shibuya o Shinjuku.</t>
  </si>
  <si>
    <t>Metro/JR urbani; usare carta IC ricaricabile.</t>
  </si>
  <si>
    <t>Tokyo · notte 2/4</t>
  </si>
  <si>
    <r>
      <rPr>
        <b val="1"/>
        <sz val="10"/>
        <color indexed="8"/>
        <rFont val="Aptos"/>
      </rPr>
      <t xml:space="preserve">Guida presente: </t>
    </r>
    <r>
      <rPr>
        <sz val="10"/>
        <color indexed="8"/>
        <rFont val="Aptos"/>
      </rPr>
      <t>Tour guidato in italiano.</t>
    </r>
  </si>
  <si>
    <t>Partenza presto per Nikko; santuario Toshogu e complesso UNESCO con guida italiana.</t>
  </si>
  <si>
    <t>Ponte Shinkyo e area dei templi; rientro a Tokyo nel tardo pomeriggio.</t>
  </si>
  <si>
    <t>Cena libera e serata tranquilla.</t>
  </si>
  <si>
    <t>Escursione A/R Tokyo–Nikko; circa 2 h per tratta secondo il collegamento.</t>
  </si>
  <si>
    <t>Tokyo · notte 3/4</t>
  </si>
  <si>
    <r>
      <rPr>
        <b val="1"/>
        <sz val="10"/>
        <color indexed="8"/>
        <rFont val="Aptos"/>
      </rPr>
      <t xml:space="preserve">Guida presente: </t>
    </r>
    <r>
      <rPr>
        <sz val="10"/>
        <color indexed="8"/>
        <rFont val="Aptos"/>
      </rPr>
      <t>Tour guidato in italiano; novembre richiede abbigliamento caldo e scarpe antiscivolo.</t>
    </r>
  </si>
  <si>
    <t>Escursione guidata in italiano verso area Hakone/Monte Fuji; partenza 08:30/09.00.</t>
  </si>
  <si>
    <t>Lago Ashi; punti panoramici del Fuji scelti in base a meteo e visibilità.</t>
  </si>
  <si>
    <t>Rientro a Tokyo indicativamente 17.00 / 18.00.</t>
  </si>
  <si>
    <t>Usare romancecar per arrivare ad Hakone</t>
  </si>
  <si>
    <t>Tokyo · notte 4/4</t>
  </si>
  <si>
    <r>
      <rPr>
        <b val="1"/>
        <sz val="10"/>
        <color indexed="8"/>
        <rFont val="Aptos"/>
      </rPr>
      <t xml:space="preserve">Guida presente: </t>
    </r>
    <r>
      <rPr>
        <sz val="10"/>
        <color indexed="8"/>
        <rFont val="Aptos"/>
      </rPr>
      <t>Tour di Hakone con guida in italino. PS: la vista del Fuji non è garantita.</t>
    </r>
  </si>
  <si>
    <t>Kanazawa</t>
  </si>
  <si>
    <t>Shinkansen Hokuriku da Tokyo verso le 08:30/09.30: arrivo in tarda mattinata.</t>
  </si>
  <si>
    <t>Visita guidata in italiano: giardino Kenroku-en, area del castello e quartiere samurai Nagamachi.</t>
  </si>
  <si>
    <t>Cena di pesce/kaiseki e passeggiata nel centro.</t>
  </si>
  <si>
    <t>Tokyo → Kanazawa in circa 2 h 30 min sul servizio rapido; prenotare posti.</t>
  </si>
  <si>
    <t>Kanazawa · notte 1/1</t>
  </si>
  <si>
    <r>
      <rPr>
        <b val="1"/>
        <sz val="10"/>
        <color indexed="8"/>
        <rFont val="Aptos"/>
      </rPr>
      <t xml:space="preserve">Guida presente: </t>
    </r>
    <r>
      <rPr>
        <sz val="10"/>
        <color indexed="8"/>
        <rFont val="Aptos"/>
      </rPr>
      <t>Inviare i bagagli grandi direttamente a Kyoto; portare un bagaglio piccolo per 2 notti.</t>
    </r>
  </si>
  <si>
    <t>Takayama</t>
  </si>
  <si>
    <t>Bus Kanazawa → Shirakawa-go; visita del villaggio in circa mezza giornata.</t>
  </si>
  <si>
    <t>Bus Shirakawa-go → Takayama; check-in e passeggiata nel centro storico Sanmachi.</t>
  </si>
  <si>
    <t>Cena locale; possibile ryokan/onsen.</t>
  </si>
  <si>
    <t>Bus intercity.</t>
  </si>
  <si>
    <t>Takayama · notte 1/1</t>
  </si>
  <si>
    <r>
      <rPr>
        <b val="1"/>
        <sz val="10"/>
        <color indexed="8"/>
        <rFont val="Aptos"/>
      </rPr>
      <t>Guida presente:</t>
    </r>
    <r>
      <rPr>
        <sz val="10"/>
        <color indexed="8"/>
        <rFont val="Aptos"/>
      </rPr>
      <t xml:space="preserve"> Coordinare i due bus lasciando almeno 3 ore a Shirakawa-go; viaggiare con bagaglio leggero.</t>
    </r>
  </si>
  <si>
    <t>Kyoto</t>
  </si>
  <si>
    <t>Mercato mattutino di Takayama e centro storico; partenza entro tarda mattinata.</t>
  </si>
  <si>
    <t>Treno espresso Hida per Nagoya + Shinkansen per Kyoto; arrivo metà/tardo pomeriggio.</t>
  </si>
  <si>
    <t>Check-in e passeggiata a Gion/Pontocho.</t>
  </si>
  <si>
    <t>Takayama → Nagoya → Kyoto: circa 3 h 15–4 h più il cambio.</t>
  </si>
  <si>
    <t>Kyoto · notte 1/3</t>
  </si>
  <si>
    <r>
      <rPr>
        <b val="1"/>
        <sz val="10"/>
        <color indexed="8"/>
        <rFont val="Aptos"/>
      </rPr>
      <t xml:space="preserve">Guida non presente. </t>
    </r>
    <r>
      <rPr>
        <sz val="10"/>
        <color indexed="8"/>
        <rFont val="Aptos"/>
      </rPr>
      <t>Prenotare entrambi i treni e lasciare margine a Nagoya; recuperare i bagagli spediti.</t>
    </r>
  </si>
  <si>
    <t>Visita guidata in italiano: Kinkaku-ji e area nord-ovest.</t>
  </si>
  <si>
    <t>Castello Nijo oppure Higashiyama, Kiyomizu-dera e viuzze storiche.</t>
  </si>
  <si>
    <t>Gion al tramonto; eventuale esperienza culturale da prenotare.</t>
  </si>
  <si>
    <t>Taxi/mezzi pubblici; di solito a Kyoto si prediligono i bus pubblici, ma bisogna vedere dove si trova il vostro Hotel.</t>
  </si>
  <si>
    <t>Kyoto · notte 2/3</t>
  </si>
  <si>
    <r>
      <rPr>
        <b val="1"/>
        <sz val="10"/>
        <color indexed="8"/>
        <rFont val="Aptos"/>
      </rPr>
      <t>Guida presente:</t>
    </r>
    <r>
      <rPr>
        <sz val="10"/>
        <color indexed="8"/>
        <rFont val="Aptos"/>
      </rPr>
      <t xml:space="preserve"> Guida italiana per giornata intera.</t>
    </r>
  </si>
  <si>
    <t>Escursione guidata in italiano a Nara: Todai-ji, parco dei cervi e Kasuga Taisha.</t>
  </si>
  <si>
    <t>Naramachi oppure rientro via Fushimi Inari se energie e luce lo consentono.</t>
  </si>
  <si>
    <t>Rientro a Kyoto e cena libera.</t>
  </si>
  <si>
    <t>Treno A/R Kyoto–Nara; circa 45–60 min per tratta secondo servizio.</t>
  </si>
  <si>
    <t>Kyoto · notte 3/3</t>
  </si>
  <si>
    <t>Osaka</t>
  </si>
  <si>
    <t>Trasferimento a Osaka; deposito bagagli. Castello di Osaka e parco esterno.</t>
  </si>
  <si>
    <t>Kuromon, Namba e Shinsaibashi; alternativa Umeda per panorama urbano.</t>
  </si>
  <si>
    <t>Dotonbori illuminata e cena street-food.</t>
  </si>
  <si>
    <t>Kyoto → Osaka circa 30 min con collegamento rapido; scegliere hotel comodo per l’aeroporto.</t>
  </si>
  <si>
    <t>Osaka · notte 1/1</t>
  </si>
  <si>
    <t>Partenza</t>
  </si>
  <si>
    <t>Check-out e trasferimento in aeroporto con margine adeguato.</t>
  </si>
  <si>
    <t>Volo di rientro; programma libero solo se l’orario lo consente.</t>
  </si>
  <si>
    <t>—</t>
  </si>
  <si>
    <t>Osaka → aeroporto: modalità e partenza dipendono da KIX/Itami e dall’orario del volo.</t>
  </si>
  <si>
    <t>Confermare aeroporto, compagnia, numero volo e orario; arrivare almeno 3 ore prima per volo internazionale.</t>
  </si>
  <si>
    <t>Totale extra guida</t>
  </si>
  <si>
    <t>NOTE ORGANIZZATIVE</t>
  </si>
  <si>
    <t>La guida sarà Gioacchino fino al pomeriggio del 24 novembre. Da giovedì 26 novembre la guida sarà Luca.</t>
  </si>
  <si>
    <t>I costi della giornata di guida li potete trovare direttamente sul sito; per gli extra consultate la colonna I. Negli extra sono inclusi trasporti e hotel dove ve ne sia bisogno.D26 Totale extra guida = € 645.00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</si>
</sst>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d&quot; &quot;dd/mm"/>
    <numFmt numFmtId="60" formatCode="&quot;€ &quot;#,##0.00"/>
  </numFmts>
  <fonts count="14">
    <font>
      <sz val="11"/>
      <color indexed="8"/>
      <name val="Aptos Narrow"/>
    </font>
    <font>
      <sz val="12"/>
      <color indexed="8"/>
      <name val="Helvetica Neue"/>
    </font>
    <font>
      <sz val="14"/>
      <color indexed="8"/>
      <name val="Aptos Narrow"/>
    </font>
    <font>
      <b val="1"/>
      <sz val="20"/>
      <color indexed="9"/>
      <name val="Aptos"/>
    </font>
    <font>
      <sz val="11"/>
      <color indexed="12"/>
      <name val="Aptos"/>
    </font>
    <font>
      <sz val="10"/>
      <color indexed="8"/>
      <name val="Aptos"/>
    </font>
    <font>
      <b val="1"/>
      <sz val="10"/>
      <color indexed="9"/>
      <name val="Aptos"/>
    </font>
    <font>
      <b val="1"/>
      <sz val="16"/>
      <color indexed="10"/>
      <name val="Aptos"/>
    </font>
    <font>
      <b val="1"/>
      <sz val="10"/>
      <color indexed="10"/>
      <name val="Aptos"/>
    </font>
    <font>
      <b val="1"/>
      <sz val="10"/>
      <color indexed="8"/>
      <name val="Aptos"/>
    </font>
    <font>
      <i val="1"/>
      <sz val="10"/>
      <color indexed="8"/>
      <name val="Aptos"/>
    </font>
    <font>
      <b val="1"/>
      <sz val="12"/>
      <color indexed="9"/>
      <name val="Aptos Narrow"/>
    </font>
    <font>
      <b val="1"/>
      <sz val="11"/>
      <color indexed="22"/>
      <name val="Aptos Narrow"/>
    </font>
    <font>
      <sz val="11"/>
      <color indexed="22"/>
      <name val="Aptos Narrow"/>
    </font>
  </fonts>
  <fills count="13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3"/>
        <bgColor auto="1"/>
      </patternFill>
    </fill>
  </fills>
  <borders count="22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5"/>
      </bottom>
      <diagonal/>
    </border>
    <border>
      <left/>
      <right/>
      <top/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5"/>
      </top>
      <bottom style="thin">
        <color indexed="21"/>
      </bottom>
      <diagonal/>
    </border>
    <border>
      <left/>
      <right/>
      <top style="thin">
        <color indexed="15"/>
      </top>
      <bottom style="thin">
        <color indexed="21"/>
      </bottom>
      <diagonal/>
    </border>
    <border>
      <left/>
      <right/>
      <top style="thin">
        <color indexed="15"/>
      </top>
      <bottom/>
      <diagonal/>
    </border>
    <border>
      <left style="thin">
        <color indexed="11"/>
      </left>
      <right/>
      <top style="thin">
        <color indexed="21"/>
      </top>
      <bottom style="thin">
        <color indexed="24"/>
      </bottom>
      <diagonal/>
    </border>
    <border>
      <left/>
      <right/>
      <top style="thin">
        <color indexed="21"/>
      </top>
      <bottom style="thin">
        <color indexed="24"/>
      </bottom>
      <diagonal/>
    </border>
    <border>
      <left style="thin">
        <color indexed="11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center"/>
    </xf>
    <xf numFmtId="0" fontId="4" fillId="3" borderId="5" applyNumberFormat="0" applyFont="1" applyFill="1" applyBorder="1" applyAlignment="1" applyProtection="0">
      <alignment vertical="center"/>
    </xf>
    <xf numFmtId="0" fontId="0" borderId="6" applyNumberFormat="0" applyFont="1" applyFill="0" applyBorder="1" applyAlignment="1" applyProtection="0">
      <alignment vertical="bottom"/>
    </xf>
    <xf numFmtId="0" fontId="5" fillId="4" borderId="4" applyNumberFormat="0" applyFont="1" applyFill="1" applyBorder="1" applyAlignment="1" applyProtection="0">
      <alignment vertical="center"/>
    </xf>
    <xf numFmtId="0" fontId="5" fillId="4" borderId="5" applyNumberFormat="0" applyFont="1" applyFill="1" applyBorder="1" applyAlignment="1" applyProtection="0">
      <alignment vertical="center"/>
    </xf>
    <xf numFmtId="0" fontId="0" borderId="5" applyNumberFormat="0" applyFont="1" applyFill="0" applyBorder="1" applyAlignment="1" applyProtection="0">
      <alignment vertical="bottom"/>
    </xf>
    <xf numFmtId="49" fontId="6" fillId="5" borderId="7" applyNumberFormat="1" applyFont="1" applyFill="1" applyBorder="1" applyAlignment="1" applyProtection="0">
      <alignment vertical="center"/>
    </xf>
    <xf numFmtId="0" fontId="7" fillId="6" borderId="8" applyNumberFormat="1" applyFont="1" applyFill="1" applyBorder="1" applyAlignment="1" applyProtection="0">
      <alignment vertical="center"/>
    </xf>
    <xf numFmtId="49" fontId="6" fillId="5" borderId="8" applyNumberFormat="1" applyFont="1" applyFill="1" applyBorder="1" applyAlignment="1" applyProtection="0">
      <alignment vertical="center"/>
    </xf>
    <xf numFmtId="0" fontId="6" fillId="5" borderId="8" applyNumberFormat="0" applyFont="1" applyFill="1" applyBorder="1" applyAlignment="1" applyProtection="0">
      <alignment vertical="center"/>
    </xf>
    <xf numFmtId="0" fontId="7" fillId="6" borderId="8" applyNumberFormat="0" applyFont="1" applyFill="1" applyBorder="1" applyAlignment="1" applyProtection="0">
      <alignment vertical="center"/>
    </xf>
    <xf numFmtId="0" fontId="0" borderId="8" applyNumberFormat="0" applyFont="1" applyFill="0" applyBorder="1" applyAlignment="1" applyProtection="0">
      <alignment vertical="bottom"/>
    </xf>
    <xf numFmtId="49" fontId="6" fillId="7" borderId="9" applyNumberFormat="1" applyFont="1" applyFill="1" applyBorder="1" applyAlignment="1" applyProtection="0">
      <alignment vertical="center"/>
    </xf>
    <xf numFmtId="49" fontId="6" fillId="7" borderId="10" applyNumberFormat="1" applyFont="1" applyFill="1" applyBorder="1" applyAlignment="1" applyProtection="0">
      <alignment vertical="center"/>
    </xf>
    <xf numFmtId="49" fontId="6" fillId="7" borderId="11" applyNumberFormat="1" applyFont="1" applyFill="1" applyBorder="1" applyAlignment="1" applyProtection="0">
      <alignment vertical="center" wrapText="1"/>
    </xf>
    <xf numFmtId="0" fontId="0" borderId="12" applyNumberFormat="0" applyFont="1" applyFill="0" applyBorder="1" applyAlignment="1" applyProtection="0">
      <alignment vertical="bottom"/>
    </xf>
    <xf numFmtId="59" fontId="8" fillId="8" borderId="9" applyNumberFormat="1" applyFont="1" applyFill="1" applyBorder="1" applyAlignment="1" applyProtection="0">
      <alignment horizontal="left" vertical="top" wrapText="1"/>
    </xf>
    <xf numFmtId="49" fontId="9" fillId="8" borderId="10" applyNumberFormat="1" applyFont="1" applyFill="1" applyBorder="1" applyAlignment="1" applyProtection="0">
      <alignment horizontal="left" vertical="top" wrapText="1"/>
    </xf>
    <xf numFmtId="49" fontId="5" fillId="8" borderId="10" applyNumberFormat="1" applyFont="1" applyFill="1" applyBorder="1" applyAlignment="1" applyProtection="0">
      <alignment vertical="top" wrapText="1"/>
    </xf>
    <xf numFmtId="49" fontId="10" fillId="8" borderId="10" applyNumberFormat="1" applyFont="1" applyFill="1" applyBorder="1" applyAlignment="1" applyProtection="0">
      <alignment vertical="top" wrapText="1"/>
    </xf>
    <xf numFmtId="60" fontId="5" fillId="9" borderId="11" applyNumberFormat="1" applyFont="1" applyFill="1" applyBorder="1" applyAlignment="1" applyProtection="0">
      <alignment horizontal="right" vertical="top" wrapText="1"/>
    </xf>
    <xf numFmtId="59" fontId="8" fillId="4" borderId="9" applyNumberFormat="1" applyFont="1" applyFill="1" applyBorder="1" applyAlignment="1" applyProtection="0">
      <alignment horizontal="left" vertical="top" wrapText="1"/>
    </xf>
    <xf numFmtId="49" fontId="9" fillId="4" borderId="10" applyNumberFormat="1" applyFont="1" applyFill="1" applyBorder="1" applyAlignment="1" applyProtection="0">
      <alignment horizontal="left" vertical="top" wrapText="1"/>
    </xf>
    <xf numFmtId="49" fontId="5" fillId="4" borderId="10" applyNumberFormat="1" applyFont="1" applyFill="1" applyBorder="1" applyAlignment="1" applyProtection="0">
      <alignment vertical="top" wrapText="1"/>
    </xf>
    <xf numFmtId="49" fontId="10" fillId="4" borderId="10" applyNumberFormat="1" applyFont="1" applyFill="1" applyBorder="1" applyAlignment="1" applyProtection="0">
      <alignment vertical="top" wrapText="1"/>
    </xf>
    <xf numFmtId="0" fontId="9" fillId="4" borderId="10" applyNumberFormat="0" applyFont="1" applyFill="1" applyBorder="1" applyAlignment="1" applyProtection="0">
      <alignment horizontal="left" vertical="top" wrapText="1"/>
    </xf>
    <xf numFmtId="0" fontId="5" fillId="4" borderId="10" applyNumberFormat="0" applyFont="1" applyFill="1" applyBorder="1" applyAlignment="1" applyProtection="0">
      <alignment vertical="top" wrapText="1"/>
    </xf>
    <xf numFmtId="0" fontId="10" fillId="4" borderId="10" applyNumberFormat="0" applyFont="1" applyFill="1" applyBorder="1" applyAlignment="1" applyProtection="0">
      <alignment vertical="top" wrapText="1"/>
    </xf>
    <xf numFmtId="49" fontId="9" fillId="4" borderId="10" applyNumberFormat="1" applyFont="1" applyFill="1" applyBorder="1" applyAlignment="1" applyProtection="0">
      <alignment horizontal="right" vertical="top" wrapText="1"/>
    </xf>
    <xf numFmtId="60" fontId="9" fillId="10" borderId="11" applyNumberFormat="1" applyFont="1" applyFill="1" applyBorder="1" applyAlignment="1" applyProtection="0">
      <alignment horizontal="right" vertical="top" wrapText="1"/>
    </xf>
    <xf numFmtId="49" fontId="11" fillId="11" borderId="13" applyNumberFormat="1" applyFont="1" applyFill="1" applyBorder="1" applyAlignment="1" applyProtection="0">
      <alignment vertical="center"/>
    </xf>
    <xf numFmtId="0" fontId="11" fillId="11" borderId="14" applyNumberFormat="0" applyFont="1" applyFill="1" applyBorder="1" applyAlignment="1" applyProtection="0">
      <alignment vertical="center"/>
    </xf>
    <xf numFmtId="0" fontId="0" borderId="15" applyNumberFormat="0" applyFont="1" applyFill="0" applyBorder="1" applyAlignment="1" applyProtection="0">
      <alignment vertical="bottom"/>
    </xf>
    <xf numFmtId="0" fontId="12" fillId="12" borderId="16" applyNumberFormat="1" applyFont="1" applyFill="1" applyBorder="1" applyAlignment="1" applyProtection="0">
      <alignment horizontal="center" vertical="center"/>
    </xf>
    <xf numFmtId="49" fontId="13" fillId="12" borderId="17" applyNumberFormat="1" applyFont="1" applyFill="1" applyBorder="1" applyAlignment="1" applyProtection="0">
      <alignment vertical="center" wrapText="1"/>
    </xf>
    <xf numFmtId="0" fontId="13" fillId="12" borderId="17" applyNumberFormat="0" applyFont="1" applyFill="1" applyBorder="1" applyAlignment="1" applyProtection="0">
      <alignment vertical="center" wrapText="1"/>
    </xf>
    <xf numFmtId="0" fontId="12" fillId="12" borderId="18" applyNumberFormat="1" applyFont="1" applyFill="1" applyBorder="1" applyAlignment="1" applyProtection="0">
      <alignment horizontal="center" vertical="center"/>
    </xf>
    <xf numFmtId="49" fontId="13" fillId="12" borderId="19" applyNumberFormat="1" applyFont="1" applyFill="1" applyBorder="1" applyAlignment="1" applyProtection="0">
      <alignment vertical="center" wrapText="1"/>
    </xf>
    <xf numFmtId="0" fontId="13" fillId="12" borderId="19" applyNumberFormat="0" applyFont="1" applyFill="1" applyBorder="1" applyAlignment="1" applyProtection="0">
      <alignment vertical="center" wrapText="1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324d"/>
      <rgbColor rgb="ffaaaaaa"/>
      <rgbColor rgb="ff315b7d"/>
      <rgbColor rgb="ffeaf0f4"/>
      <rgbColor rgb="ffd94835"/>
      <rgbColor rgb="ff729fb3"/>
      <rgbColor rgb="fffff3e8"/>
      <rgbColor rgb="ffd0dfe5"/>
      <rgbColor rgb="fffff2cc"/>
      <rgbColor rgb="ffd9ead3"/>
      <rgbColor rgb="ff1f4e78"/>
      <rgbColor rgb="ffb8c6d1"/>
      <rgbColor rgb="ff243447"/>
      <rgbColor rgb="fff4f7fa"/>
      <rgbColor rgb="ffd9e2e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0"/>
  <sheetViews>
    <sheetView workbookViewId="0" showGridLines="0" defaultGridColor="1"/>
  </sheetViews>
  <sheetFormatPr defaultColWidth="8.83333" defaultRowHeight="14.5" customHeight="1" outlineLevelRow="0" outlineLevelCol="0"/>
  <cols>
    <col min="1" max="1" width="14.8516" style="1" customWidth="1"/>
    <col min="2" max="2" width="13.8516" style="1" customWidth="1"/>
    <col min="3" max="5" width="37.3516" style="1" customWidth="1"/>
    <col min="6" max="6" width="31.8516" style="1" customWidth="1"/>
    <col min="7" max="7" width="19.1719" style="1" customWidth="1"/>
    <col min="8" max="8" width="40.8516" style="1" customWidth="1"/>
    <col min="9" max="9" width="16.6719" style="1" customWidth="1"/>
    <col min="10" max="10" width="8.85156" style="1" customWidth="1"/>
    <col min="11" max="16384" width="8.85156" style="1" customWidth="1"/>
  </cols>
  <sheetData>
    <row r="1" ht="34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4"/>
    </row>
    <row r="2" ht="2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7"/>
    </row>
    <row r="3" ht="16" customHeight="1">
      <c r="A3" s="8"/>
      <c r="B3" s="9"/>
      <c r="C3" s="9"/>
      <c r="D3" s="9"/>
      <c r="E3" s="9"/>
      <c r="F3" s="9"/>
      <c r="G3" s="9"/>
      <c r="H3" s="9"/>
      <c r="I3" s="10"/>
      <c r="J3" s="7"/>
    </row>
    <row r="4" ht="30" customHeight="1">
      <c r="A4" t="s" s="11">
        <v>2</v>
      </c>
      <c r="B4" s="12">
        <v>11</v>
      </c>
      <c r="C4" t="s" s="13">
        <v>3</v>
      </c>
      <c r="D4" s="12">
        <v>10</v>
      </c>
      <c r="E4" t="s" s="13">
        <v>4</v>
      </c>
      <c r="F4" s="12">
        <v>5</v>
      </c>
      <c r="G4" s="14"/>
      <c r="H4" s="15"/>
      <c r="I4" s="16"/>
      <c r="J4" s="7"/>
    </row>
    <row r="5" ht="30" customHeight="1">
      <c r="A5" t="s" s="17">
        <v>5</v>
      </c>
      <c r="B5" t="s" s="18">
        <v>6</v>
      </c>
      <c r="C5" t="s" s="18">
        <v>7</v>
      </c>
      <c r="D5" t="s" s="18">
        <v>8</v>
      </c>
      <c r="E5" t="s" s="18">
        <v>9</v>
      </c>
      <c r="F5" t="s" s="18">
        <v>10</v>
      </c>
      <c r="G5" t="s" s="18">
        <v>11</v>
      </c>
      <c r="H5" t="s" s="18">
        <v>12</v>
      </c>
      <c r="I5" t="s" s="19">
        <v>13</v>
      </c>
      <c r="J5" s="20"/>
    </row>
    <row r="6" ht="39" customHeight="1">
      <c r="A6" s="21">
        <v>46345</v>
      </c>
      <c r="B6" t="s" s="22">
        <v>14</v>
      </c>
      <c r="C6" t="s" s="23">
        <v>15</v>
      </c>
      <c r="D6" t="s" s="23">
        <v>16</v>
      </c>
      <c r="E6" t="s" s="23">
        <v>17</v>
      </c>
      <c r="F6" t="s" s="23">
        <v>18</v>
      </c>
      <c r="G6" t="s" s="24">
        <v>19</v>
      </c>
      <c r="H6" t="s" s="23">
        <v>20</v>
      </c>
      <c r="I6" s="25">
        <v>0</v>
      </c>
      <c r="J6" s="20"/>
    </row>
    <row r="7" ht="39" customHeight="1">
      <c r="A7" s="26">
        <v>46346</v>
      </c>
      <c r="B7" t="s" s="27">
        <v>14</v>
      </c>
      <c r="C7" t="s" s="28">
        <v>21</v>
      </c>
      <c r="D7" t="s" s="28">
        <v>22</v>
      </c>
      <c r="E7" t="s" s="28">
        <v>23</v>
      </c>
      <c r="F7" t="s" s="28">
        <v>24</v>
      </c>
      <c r="G7" t="s" s="29">
        <v>25</v>
      </c>
      <c r="H7" t="s" s="28">
        <v>26</v>
      </c>
      <c r="I7" s="25">
        <v>20</v>
      </c>
      <c r="J7" s="20"/>
    </row>
    <row r="8" ht="39" customHeight="1">
      <c r="A8" s="21">
        <v>46347</v>
      </c>
      <c r="B8" t="s" s="22">
        <v>14</v>
      </c>
      <c r="C8" t="s" s="23">
        <v>27</v>
      </c>
      <c r="D8" t="s" s="23">
        <v>28</v>
      </c>
      <c r="E8" t="s" s="23">
        <v>29</v>
      </c>
      <c r="F8" t="s" s="23">
        <v>30</v>
      </c>
      <c r="G8" t="s" s="24">
        <v>31</v>
      </c>
      <c r="H8" t="s" s="23">
        <v>32</v>
      </c>
      <c r="I8" s="25">
        <v>50</v>
      </c>
      <c r="J8" s="20"/>
    </row>
    <row r="9" ht="26" customHeight="1">
      <c r="A9" s="26">
        <v>46348</v>
      </c>
      <c r="B9" t="s" s="27">
        <v>14</v>
      </c>
      <c r="C9" t="s" s="28">
        <v>33</v>
      </c>
      <c r="D9" t="s" s="28">
        <v>34</v>
      </c>
      <c r="E9" t="s" s="28">
        <v>35</v>
      </c>
      <c r="F9" t="s" s="28">
        <v>36</v>
      </c>
      <c r="G9" t="s" s="29">
        <v>37</v>
      </c>
      <c r="H9" t="s" s="28">
        <v>38</v>
      </c>
      <c r="I9" s="25">
        <v>50</v>
      </c>
      <c r="J9" s="20"/>
    </row>
    <row r="10" ht="39" customHeight="1">
      <c r="A10" s="21">
        <v>46349</v>
      </c>
      <c r="B10" t="s" s="22">
        <v>39</v>
      </c>
      <c r="C10" t="s" s="23">
        <v>40</v>
      </c>
      <c r="D10" t="s" s="23">
        <v>41</v>
      </c>
      <c r="E10" t="s" s="23">
        <v>42</v>
      </c>
      <c r="F10" t="s" s="23">
        <v>43</v>
      </c>
      <c r="G10" t="s" s="24">
        <v>44</v>
      </c>
      <c r="H10" t="s" s="23">
        <v>45</v>
      </c>
      <c r="I10" s="25">
        <v>150</v>
      </c>
      <c r="J10" s="20"/>
    </row>
    <row r="11" ht="39" customHeight="1">
      <c r="A11" s="26">
        <v>46350</v>
      </c>
      <c r="B11" t="s" s="27">
        <v>46</v>
      </c>
      <c r="C11" t="s" s="28">
        <v>47</v>
      </c>
      <c r="D11" t="s" s="28">
        <v>48</v>
      </c>
      <c r="E11" t="s" s="28">
        <v>49</v>
      </c>
      <c r="F11" t="s" s="28">
        <v>50</v>
      </c>
      <c r="G11" t="s" s="29">
        <v>51</v>
      </c>
      <c r="H11" t="s" s="28">
        <v>52</v>
      </c>
      <c r="I11" s="25">
        <v>150</v>
      </c>
      <c r="J11" s="20"/>
    </row>
    <row r="12" ht="39" customHeight="1">
      <c r="A12" s="21">
        <v>46351</v>
      </c>
      <c r="B12" t="s" s="22">
        <v>53</v>
      </c>
      <c r="C12" t="s" s="23">
        <v>54</v>
      </c>
      <c r="D12" t="s" s="23">
        <v>55</v>
      </c>
      <c r="E12" t="s" s="23">
        <v>56</v>
      </c>
      <c r="F12" t="s" s="23">
        <v>57</v>
      </c>
      <c r="G12" t="s" s="24">
        <v>58</v>
      </c>
      <c r="H12" t="s" s="23">
        <v>59</v>
      </c>
      <c r="I12" s="25"/>
      <c r="J12" s="20"/>
    </row>
    <row r="13" ht="39" customHeight="1">
      <c r="A13" s="26">
        <v>46352</v>
      </c>
      <c r="B13" t="s" s="27">
        <v>53</v>
      </c>
      <c r="C13" t="s" s="28">
        <v>60</v>
      </c>
      <c r="D13" t="s" s="28">
        <v>61</v>
      </c>
      <c r="E13" t="s" s="28">
        <v>62</v>
      </c>
      <c r="F13" t="s" s="28">
        <v>63</v>
      </c>
      <c r="G13" t="s" s="29">
        <v>64</v>
      </c>
      <c r="H13" t="s" s="28">
        <v>65</v>
      </c>
      <c r="I13" s="25">
        <v>120</v>
      </c>
      <c r="J13" s="20"/>
    </row>
    <row r="14" ht="26" customHeight="1">
      <c r="A14" s="21">
        <v>46353</v>
      </c>
      <c r="B14" t="s" s="22">
        <v>53</v>
      </c>
      <c r="C14" t="s" s="23">
        <v>66</v>
      </c>
      <c r="D14" t="s" s="23">
        <v>67</v>
      </c>
      <c r="E14" t="s" s="23">
        <v>68</v>
      </c>
      <c r="F14" t="s" s="23">
        <v>69</v>
      </c>
      <c r="G14" t="s" s="24">
        <v>70</v>
      </c>
      <c r="H14" t="s" s="23">
        <v>65</v>
      </c>
      <c r="I14" s="25">
        <v>20</v>
      </c>
      <c r="J14" s="20"/>
    </row>
    <row r="15" ht="39" customHeight="1">
      <c r="A15" s="26">
        <v>46354</v>
      </c>
      <c r="B15" t="s" s="27">
        <v>71</v>
      </c>
      <c r="C15" t="s" s="28">
        <v>72</v>
      </c>
      <c r="D15" t="s" s="28">
        <v>73</v>
      </c>
      <c r="E15" t="s" s="28">
        <v>74</v>
      </c>
      <c r="F15" t="s" s="28">
        <v>75</v>
      </c>
      <c r="G15" t="s" s="29">
        <v>76</v>
      </c>
      <c r="H15" t="s" s="28">
        <v>65</v>
      </c>
      <c r="I15" s="25">
        <v>85</v>
      </c>
      <c r="J15" s="20"/>
    </row>
    <row r="16" ht="39" customHeight="1">
      <c r="A16" s="21">
        <v>46355</v>
      </c>
      <c r="B16" t="s" s="22">
        <v>77</v>
      </c>
      <c r="C16" t="s" s="23">
        <v>78</v>
      </c>
      <c r="D16" t="s" s="23">
        <v>79</v>
      </c>
      <c r="E16" t="s" s="23">
        <v>80</v>
      </c>
      <c r="F16" t="s" s="23">
        <v>81</v>
      </c>
      <c r="G16" t="s" s="24">
        <v>80</v>
      </c>
      <c r="H16" t="s" s="23">
        <v>82</v>
      </c>
      <c r="I16" s="25">
        <v>0</v>
      </c>
      <c r="J16" s="20"/>
    </row>
    <row r="17" ht="24" customHeight="1">
      <c r="A17" s="26"/>
      <c r="B17" s="30"/>
      <c r="C17" s="31"/>
      <c r="D17" s="31"/>
      <c r="E17" s="31"/>
      <c r="F17" s="31"/>
      <c r="G17" s="32"/>
      <c r="H17" t="s" s="33">
        <v>83</v>
      </c>
      <c r="I17" s="34">
        <f>SUM(I6:I16)</f>
        <v>645</v>
      </c>
      <c r="J17" s="20"/>
    </row>
    <row r="18" ht="24" customHeight="1">
      <c r="A18" t="s" s="35">
        <v>84</v>
      </c>
      <c r="B18" s="36"/>
      <c r="C18" s="36"/>
      <c r="D18" s="36"/>
      <c r="E18" s="36"/>
      <c r="F18" s="36"/>
      <c r="G18" s="36"/>
      <c r="H18" s="36"/>
      <c r="I18" s="37"/>
      <c r="J18" s="7"/>
    </row>
    <row r="19" ht="28" customHeight="1">
      <c r="A19" s="38">
        <v>1</v>
      </c>
      <c r="B19" t="s" s="39">
        <v>85</v>
      </c>
      <c r="C19" s="40"/>
      <c r="D19" s="40"/>
      <c r="E19" s="40"/>
      <c r="F19" s="40"/>
      <c r="G19" s="40"/>
      <c r="H19" s="40"/>
      <c r="I19" s="10"/>
      <c r="J19" s="7"/>
    </row>
    <row r="20" ht="28" customHeight="1">
      <c r="A20" s="41">
        <v>2</v>
      </c>
      <c r="B20" t="s" s="42">
        <f>"I costi della giornata di guida li potete trovare direttamente sul sito; per gli extra consultate la colonna I. Negli extra sono inclusi trasporti e hotel dove ve ne sia bisogno.D26 Totale extra guida = € "&amp;FIXED(I17,2,TRUE)</f>
        <v>86</v>
      </c>
      <c r="C20" s="43"/>
      <c r="D20" s="43"/>
      <c r="E20" s="43"/>
      <c r="F20" s="43"/>
      <c r="G20" s="43"/>
      <c r="H20" s="43"/>
      <c r="I20" s="44"/>
      <c r="J20" s="45"/>
    </row>
  </sheetData>
  <mergeCells count="5">
    <mergeCell ref="A1:I1"/>
    <mergeCell ref="A2:I2"/>
    <mergeCell ref="A18:H18"/>
    <mergeCell ref="B19:H19"/>
    <mergeCell ref="B20:H2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